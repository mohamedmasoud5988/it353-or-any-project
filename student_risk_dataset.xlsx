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3\"/>
    </mc:Choice>
  </mc:AlternateContent>
  <xr:revisionPtr revIDLastSave="0" documentId="13_ncr:1_{664AF190-DBDC-4E28-B86E-D34F2521ACB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Student Data" sheetId="2" r:id="rId2"/>
    <sheet name="READ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6" i="2" l="1"/>
  <c r="I36" i="2"/>
  <c r="F36" i="2"/>
  <c r="H36" i="2" s="1"/>
  <c r="J36" i="2" s="1"/>
  <c r="R35" i="2"/>
  <c r="I35" i="2"/>
  <c r="F35" i="2"/>
  <c r="H35" i="2" s="1"/>
  <c r="J35" i="2" s="1"/>
  <c r="R34" i="2"/>
  <c r="I34" i="2"/>
  <c r="F34" i="2"/>
  <c r="H34" i="2" s="1"/>
  <c r="J34" i="2" s="1"/>
  <c r="R33" i="2"/>
  <c r="I33" i="2"/>
  <c r="F33" i="2"/>
  <c r="H33" i="2" s="1"/>
  <c r="J33" i="2" s="1"/>
  <c r="R32" i="2"/>
  <c r="I32" i="2"/>
  <c r="F32" i="2"/>
  <c r="H32" i="2" s="1"/>
  <c r="J32" i="2" s="1"/>
  <c r="R31" i="2"/>
  <c r="I31" i="2"/>
  <c r="F31" i="2"/>
  <c r="H31" i="2" s="1"/>
  <c r="J31" i="2" s="1"/>
  <c r="R30" i="2"/>
  <c r="I30" i="2"/>
  <c r="F30" i="2"/>
  <c r="H30" i="2" s="1"/>
  <c r="J30" i="2" s="1"/>
  <c r="R29" i="2"/>
  <c r="I29" i="2"/>
  <c r="F29" i="2"/>
  <c r="H29" i="2" s="1"/>
  <c r="J29" i="2" s="1"/>
  <c r="R28" i="2"/>
  <c r="I28" i="2"/>
  <c r="F28" i="2"/>
  <c r="H28" i="2" s="1"/>
  <c r="J28" i="2" s="1"/>
  <c r="R27" i="2"/>
  <c r="I27" i="2"/>
  <c r="F27" i="2"/>
  <c r="H27" i="2" s="1"/>
  <c r="J27" i="2" s="1"/>
  <c r="R26" i="2"/>
  <c r="I26" i="2"/>
  <c r="F26" i="2"/>
  <c r="H26" i="2" s="1"/>
  <c r="J26" i="2" s="1"/>
  <c r="R25" i="2"/>
  <c r="I25" i="2"/>
  <c r="F25" i="2"/>
  <c r="H25" i="2" s="1"/>
  <c r="J25" i="2" s="1"/>
  <c r="R24" i="2"/>
  <c r="I24" i="2"/>
  <c r="F24" i="2"/>
  <c r="H24" i="2" s="1"/>
  <c r="J24" i="2" s="1"/>
  <c r="R23" i="2"/>
  <c r="I23" i="2"/>
  <c r="F23" i="2"/>
  <c r="R22" i="2"/>
  <c r="I22" i="2"/>
  <c r="F22" i="2"/>
  <c r="H22" i="2" s="1"/>
  <c r="J22" i="2" s="1"/>
  <c r="R21" i="2"/>
  <c r="I21" i="2"/>
  <c r="F21" i="2"/>
  <c r="H21" i="2" s="1"/>
  <c r="J21" i="2" s="1"/>
  <c r="R20" i="2"/>
  <c r="I20" i="2"/>
  <c r="F20" i="2"/>
  <c r="H20" i="2" s="1"/>
  <c r="J20" i="2" s="1"/>
  <c r="R19" i="2"/>
  <c r="I19" i="2"/>
  <c r="F19" i="2"/>
  <c r="H19" i="2" s="1"/>
  <c r="J19" i="2" s="1"/>
  <c r="R18" i="2"/>
  <c r="I18" i="2"/>
  <c r="H18" i="2"/>
  <c r="J18" i="2" s="1"/>
  <c r="F18" i="2"/>
  <c r="R17" i="2"/>
  <c r="I17" i="2"/>
  <c r="F17" i="2"/>
  <c r="H17" i="2" s="1"/>
  <c r="J17" i="2" s="1"/>
  <c r="R16" i="2"/>
  <c r="I16" i="2"/>
  <c r="F16" i="2"/>
  <c r="H16" i="2" s="1"/>
  <c r="J16" i="2" s="1"/>
  <c r="R15" i="2"/>
  <c r="I15" i="2"/>
  <c r="F15" i="2"/>
  <c r="H15" i="2" s="1"/>
  <c r="J15" i="2" s="1"/>
  <c r="R14" i="2"/>
  <c r="I14" i="2"/>
  <c r="F14" i="2"/>
  <c r="H14" i="2" s="1"/>
  <c r="J14" i="2" s="1"/>
  <c r="R13" i="2"/>
  <c r="I13" i="2"/>
  <c r="F13" i="2"/>
  <c r="H13" i="2" s="1"/>
  <c r="J13" i="2" s="1"/>
  <c r="R12" i="2"/>
  <c r="I12" i="2"/>
  <c r="F12" i="2"/>
  <c r="H12" i="2" s="1"/>
  <c r="J12" i="2" s="1"/>
  <c r="R11" i="2"/>
  <c r="I11" i="2"/>
  <c r="F11" i="2"/>
  <c r="H11" i="2" s="1"/>
  <c r="J11" i="2" s="1"/>
  <c r="R10" i="2"/>
  <c r="I10" i="2"/>
  <c r="F10" i="2"/>
  <c r="R9" i="2"/>
  <c r="I9" i="2"/>
  <c r="F9" i="2"/>
  <c r="H9" i="2" s="1"/>
  <c r="J9" i="2" s="1"/>
  <c r="R8" i="2"/>
  <c r="I8" i="2"/>
  <c r="F8" i="2"/>
  <c r="H8" i="2" s="1"/>
  <c r="J8" i="2" s="1"/>
  <c r="R7" i="2"/>
  <c r="I7" i="2"/>
  <c r="F7" i="2"/>
  <c r="H7" i="2" s="1"/>
  <c r="J7" i="2" s="1"/>
  <c r="R6" i="2"/>
  <c r="I6" i="2"/>
  <c r="F6" i="2"/>
  <c r="H6" i="2" s="1"/>
  <c r="J6" i="2" s="1"/>
  <c r="R5" i="2"/>
  <c r="I5" i="2"/>
  <c r="F5" i="2"/>
  <c r="H5" i="2" s="1"/>
  <c r="J5" i="2" s="1"/>
  <c r="R4" i="2"/>
  <c r="I4" i="2"/>
  <c r="F4" i="2"/>
  <c r="H4" i="2" s="1"/>
  <c r="J4" i="2" s="1"/>
  <c r="R3" i="2"/>
  <c r="I3" i="2"/>
  <c r="F3" i="2"/>
  <c r="H3" i="2" s="1"/>
  <c r="J3" i="2" s="1"/>
  <c r="R2" i="2"/>
  <c r="I2" i="2"/>
  <c r="F2" i="2"/>
  <c r="H2" i="2" s="1"/>
  <c r="J2" i="2" s="1"/>
  <c r="C28" i="1"/>
  <c r="B28" i="1"/>
  <c r="C27" i="1"/>
  <c r="C26" i="1"/>
  <c r="C25" i="1"/>
  <c r="C24" i="1"/>
  <c r="C23" i="1"/>
  <c r="C22" i="1"/>
  <c r="C21" i="1"/>
  <c r="N12" i="1"/>
  <c r="K9" i="1" s="1"/>
  <c r="N10" i="1"/>
  <c r="E9" i="1" s="1"/>
  <c r="N3" i="1"/>
  <c r="A4" i="1" s="1"/>
  <c r="N11" i="1" l="1"/>
  <c r="H9" i="1" s="1"/>
  <c r="H23" i="2"/>
  <c r="J23" i="2" s="1"/>
  <c r="B24" i="1"/>
  <c r="B25" i="1"/>
  <c r="B27" i="1"/>
  <c r="B26" i="1"/>
  <c r="B23" i="1"/>
  <c r="B22" i="1"/>
  <c r="B21" i="1"/>
  <c r="H10" i="2"/>
  <c r="J10" i="2" s="1"/>
  <c r="N9" i="1"/>
  <c r="B9" i="1" s="1"/>
  <c r="N6" i="1"/>
  <c r="N8" i="1" l="1"/>
  <c r="H4" i="1" s="1"/>
  <c r="D33" i="1"/>
  <c r="F4" i="1"/>
  <c r="B16" i="1"/>
  <c r="N4" i="1"/>
  <c r="N5" i="1"/>
  <c r="B33" i="1" l="1"/>
  <c r="N7" i="1"/>
  <c r="C4" i="1" s="1"/>
  <c r="B14" i="1"/>
  <c r="C33" i="1"/>
  <c r="B15" i="1"/>
</calcChain>
</file>

<file path=xl/sharedStrings.xml><?xml version="1.0" encoding="utf-8"?>
<sst xmlns="http://schemas.openxmlformats.org/spreadsheetml/2006/main" count="146" uniqueCount="142">
  <si>
    <t>Lincoln Middle School — At-Risk Student Monitor</t>
  </si>
  <si>
    <t>Calc Engine — do not delete</t>
  </si>
  <si>
    <t>Total Students</t>
  </si>
  <si>
    <t>AT-RISK (Red+Yellow)</t>
  </si>
  <si>
    <t>GREEN — Satisfactory</t>
  </si>
  <si>
    <t>% Satisfactory</t>
  </si>
  <si>
    <t>Red Count</t>
  </si>
  <si>
    <t>Yellow Count</t>
  </si>
  <si>
    <t>Green Count</t>
  </si>
  <si>
    <t>At-Risk Count (Red+Yellow)</t>
  </si>
  <si>
    <t>students</t>
  </si>
  <si>
    <t>of roster</t>
  </si>
  <si>
    <t>Pct Satisfactory</t>
  </si>
  <si>
    <t>Avg Class Average</t>
  </si>
  <si>
    <t>Avg Class Average:</t>
  </si>
  <si>
    <t>Avg Attendance %:</t>
  </si>
  <si>
    <t>Lowest Average:</t>
  </si>
  <si>
    <t>Lowest Attendance:</t>
  </si>
  <si>
    <t>Avg Attendance</t>
  </si>
  <si>
    <t>Lowest Average</t>
  </si>
  <si>
    <t>Lowest Attendance</t>
  </si>
  <si>
    <t>Risk Category Breakdown</t>
  </si>
  <si>
    <t>Category</t>
  </si>
  <si>
    <t>Students</t>
  </si>
  <si>
    <t>RED - Dual Risk</t>
  </si>
  <si>
    <t>YELLOW - Single Risk</t>
  </si>
  <si>
    <t>GREEN - Satisfactory</t>
  </si>
  <si>
    <t>Attendance Watch List — 8 Lowest Attendance %</t>
  </si>
  <si>
    <t>Rank</t>
  </si>
  <si>
    <t>Student</t>
  </si>
  <si>
    <t>Attendance %</t>
  </si>
  <si>
    <t>Weekly Risk Trend — Week 1 is live; fill in Weeks 7-10 (or add rows below) as real data comes in</t>
  </si>
  <si>
    <t>Week</t>
  </si>
  <si>
    <t>Red</t>
  </si>
  <si>
    <t>Yellow</t>
  </si>
  <si>
    <t>Green</t>
  </si>
  <si>
    <t>Week 1 (current)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</si>
  <si>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</si>
  <si>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</si>
  <si>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</si>
  <si>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</si>
  <si>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</si>
  <si>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</si>
  <si>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</si>
  <si>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</si>
  <si>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</si>
  <si>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Student ID</t>
  </si>
  <si>
    <t>Name</t>
  </si>
  <si>
    <t>Test 1</t>
  </si>
  <si>
    <t>Test 2</t>
  </si>
  <si>
    <t>Test 3</t>
  </si>
  <si>
    <t>Average</t>
  </si>
  <si>
    <t>Academic Status</t>
  </si>
  <si>
    <t>Attendance Status</t>
  </si>
  <si>
    <t>Risk Category</t>
  </si>
  <si>
    <t>Attn_RankKey (helper)</t>
  </si>
  <si>
    <t>LMS-201</t>
  </si>
  <si>
    <t>Grace Bennett</t>
  </si>
  <si>
    <t>LMS-202</t>
  </si>
  <si>
    <t>Elena Osei</t>
  </si>
  <si>
    <t>LMS-203</t>
  </si>
  <si>
    <t>Marcus Castillo</t>
  </si>
  <si>
    <t>LMS-204</t>
  </si>
  <si>
    <t>Priya Nakamura</t>
  </si>
  <si>
    <t>LMS-205</t>
  </si>
  <si>
    <t>Nathan Whitfield</t>
  </si>
  <si>
    <t>LMS-206</t>
  </si>
  <si>
    <t>Zoe Alvarado</t>
  </si>
  <si>
    <t>LMS-207</t>
  </si>
  <si>
    <t>Andre Fenwick</t>
  </si>
  <si>
    <t>LMS-208</t>
  </si>
  <si>
    <t>Camila Okafor</t>
  </si>
  <si>
    <t>LMS-209</t>
  </si>
  <si>
    <t>Tyler Preston</t>
  </si>
  <si>
    <t>LMS-210</t>
  </si>
  <si>
    <t>Fatima Delgado</t>
  </si>
  <si>
    <t>LMS-211</t>
  </si>
  <si>
    <t>Owen Marsh</t>
  </si>
  <si>
    <t>LMS-212</t>
  </si>
  <si>
    <t>Ines Idrissi</t>
  </si>
  <si>
    <t>LMS-213</t>
  </si>
  <si>
    <t>Malik Chaudhary</t>
  </si>
  <si>
    <t>LMS-214</t>
  </si>
  <si>
    <t>Ruby Winslow</t>
  </si>
  <si>
    <t>LMS-215</t>
  </si>
  <si>
    <t>Diego Barreto</t>
  </si>
  <si>
    <t>LMS-216</t>
  </si>
  <si>
    <t>Nadia Kowalski</t>
  </si>
  <si>
    <t>LMS-217</t>
  </si>
  <si>
    <t>Caleb Njoroge</t>
  </si>
  <si>
    <t>LMS-218</t>
  </si>
  <si>
    <t>Yasmin Vasquez</t>
  </si>
  <si>
    <t>LMS-219</t>
  </si>
  <si>
    <t>Trevor Hartley</t>
  </si>
  <si>
    <t>LMS-220</t>
  </si>
  <si>
    <t>Aaliyah Suarez</t>
  </si>
  <si>
    <t>LMS-221</t>
  </si>
  <si>
    <t>Felix Ferreira</t>
  </si>
  <si>
    <t>LMS-222</t>
  </si>
  <si>
    <t>Layla Adeyemi</t>
  </si>
  <si>
    <t>LMS-223</t>
  </si>
  <si>
    <t>Gavin Blackwood</t>
  </si>
  <si>
    <t>LMS-224</t>
  </si>
  <si>
    <t>Simone Rojas</t>
  </si>
  <si>
    <t>LMS-225</t>
  </si>
  <si>
    <t>Wyatt Sinclair</t>
  </si>
  <si>
    <t>LMS-226</t>
  </si>
  <si>
    <t>Nora Achebe</t>
  </si>
  <si>
    <t>LMS-227</t>
  </si>
  <si>
    <t>Jaden Montoya</t>
  </si>
  <si>
    <t>LMS-228</t>
  </si>
  <si>
    <t>Esme Larsson</t>
  </si>
  <si>
    <t>LMS-229</t>
  </si>
  <si>
    <t>Cody Ekwueme</t>
  </si>
  <si>
    <t>LMS-230</t>
  </si>
  <si>
    <t>Amara Villanueva</t>
  </si>
  <si>
    <t>LMS-231</t>
  </si>
  <si>
    <t>Ronan Whitaker</t>
  </si>
  <si>
    <t>LMS-232</t>
  </si>
  <si>
    <t>Leilani Kamau</t>
  </si>
  <si>
    <t>LMS-233</t>
  </si>
  <si>
    <t>Miles Reyes</t>
  </si>
  <si>
    <t>LMS-234</t>
  </si>
  <si>
    <t>Sadie Sundberg</t>
  </si>
  <si>
    <t>LMS-235</t>
  </si>
  <si>
    <t>Quentin Okonkwo</t>
  </si>
  <si>
    <t>SPSS workflow. It uses different student counts, names, and a different natural</t>
  </si>
  <si>
    <t>distribution across risk tiers than the first practice set, so you can rehearse</t>
  </si>
  <si>
    <t>the same pipeline on fresh numbers.</t>
  </si>
  <si>
    <t>Structure:</t>
  </si>
  <si>
    <t>- 35 fictional students (LMS-201 .. LMS-235)</t>
  </si>
  <si>
    <t>- Organic (non-quota) distribution: 7 dual-risk, 6 academic-only, 8 attendance-only, 14 satisfactory</t>
  </si>
  <si>
    <t>Thresholds (same rule definitions as the assignment):</t>
  </si>
  <si>
    <t>- Academic Threshold: Average of Test 1-3 &lt; 60% =&gt; FAIL</t>
  </si>
  <si>
    <t>- Attendance Threshold: Attendance % &lt; 75% =&gt; FAIL</t>
  </si>
  <si>
    <t>Columns F (Average), H (Academic Status), I (Attendance Status), and J (Risk Category)</t>
  </si>
  <si>
    <t>are LIVE FORMULAS and recalculate automatically if you edit C:E or G.</t>
  </si>
  <si>
    <t>The Dashboard tab uses a different KPI/chart layout than practice set #1:</t>
  </si>
  <si>
    <t>donut chart, a horizontal 'Watch List' bar of the 8 lowest-attendance students,</t>
  </si>
  <si>
    <t>and a stacked-column weekly trend instead of a line chart.</t>
  </si>
  <si>
    <t xml:space="preserve">Lincoln Middle School — Practice Dataset </t>
  </si>
  <si>
    <t>This is an independent practice dataset for learning the Excel +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</si>
</sst>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\%"/>
  </numFmts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9"/>
      <color rgb="FFA6A6A6"/>
      <name val="Calibri"/>
      <charset val="1"/>
    </font>
    <font>
      <sz val="9"/>
      <color rgb="FFA6A6A6"/>
      <name val="Calibri"/>
      <charset val="1"/>
    </font>
    <font>
      <b/>
      <sz val="10"/>
      <color rgb="FFFFFFFF"/>
      <name val="Calibri"/>
      <charset val="1"/>
    </font>
    <font>
      <b/>
      <sz val="26"/>
      <color rgb="FF5B2A86"/>
      <name val="Calibri"/>
      <charset val="1"/>
    </font>
    <font>
      <b/>
      <sz val="26"/>
      <color rgb="FFB45F06"/>
      <name val="Calibri"/>
      <charset val="1"/>
    </font>
    <font>
      <b/>
      <sz val="26"/>
      <color rgb="FF38761D"/>
      <name val="Calibri"/>
      <charset val="1"/>
    </font>
    <font>
      <b/>
      <sz val="26"/>
      <color rgb="FF0E7C7B"/>
      <name val="Calibri"/>
      <charset val="1"/>
    </font>
    <font>
      <i/>
      <sz val="9"/>
      <color rgb="FF808080"/>
      <name val="Calibri"/>
      <charset val="1"/>
    </font>
    <font>
      <b/>
      <sz val="9"/>
      <color rgb="FF595959"/>
      <name val="Calibri"/>
      <charset val="1"/>
    </font>
    <font>
      <b/>
      <sz val="11"/>
      <color rgb="FF5B2A86"/>
      <name val="Calibri"/>
      <charset val="1"/>
    </font>
    <font>
      <b/>
      <sz val="12"/>
      <color rgb="FF5B2A86"/>
      <name val="Calibri"/>
      <charset val="1"/>
    </font>
    <font>
      <b/>
      <sz val="10"/>
      <color rgb="FF990000"/>
      <name val="Calibri"/>
      <charset val="1"/>
    </font>
    <font>
      <b/>
      <sz val="10"/>
      <color rgb="FFB45F06"/>
      <name val="Calibri"/>
      <charset val="1"/>
    </font>
    <font>
      <b/>
      <sz val="10"/>
      <color rgb="FF38761D"/>
      <name val="Calibri"/>
      <charset val="1"/>
    </font>
    <font>
      <i/>
      <sz val="8"/>
      <color rgb="FFA6A6A6"/>
      <name val="Calibri"/>
      <charset val="1"/>
    </font>
    <font>
      <sz val="10"/>
      <name val="Calibri"/>
      <charset val="1"/>
    </font>
    <font>
      <i/>
      <sz val="10"/>
      <name val="Calibri"/>
      <charset val="1"/>
    </font>
    <font>
      <sz val="10"/>
      <color rgb="FF990000"/>
      <name val="Calibri"/>
      <charset val="1"/>
    </font>
    <font>
      <sz val="10"/>
      <color rgb="FFB45F06"/>
      <name val="Calibri"/>
      <charset val="1"/>
    </font>
    <font>
      <sz val="10"/>
      <color rgb="FF38761D"/>
      <name val="Calibri"/>
      <charset val="1"/>
    </font>
    <font>
      <i/>
      <sz val="10"/>
      <color rgb="FFA6A6A6"/>
      <name val="Calibri"/>
      <charset val="1"/>
    </font>
    <font>
      <b/>
      <sz val="11"/>
      <color rgb="FFFFFFFF"/>
      <name val="Calibri"/>
      <charset val="1"/>
    </font>
    <font>
      <b/>
      <i/>
      <sz val="9"/>
      <color rgb="FFA6A6A6"/>
      <name val="Calibri"/>
      <charset val="1"/>
    </font>
    <font>
      <sz val="9"/>
      <color rgb="FFD9D9D9"/>
      <name val="Calibri"/>
      <charset val="1"/>
    </font>
    <font>
      <b/>
      <sz val="14"/>
      <name val="Calibri"/>
      <charset val="1"/>
    </font>
    <font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5B2A86"/>
        <bgColor rgb="FF660066"/>
      </patternFill>
    </fill>
    <fill>
      <patternFill patternType="solid">
        <fgColor rgb="FFB45F06"/>
        <bgColor rgb="FF7F6000"/>
      </patternFill>
    </fill>
    <fill>
      <patternFill patternType="solid">
        <fgColor rgb="FF38761D"/>
        <bgColor rgb="FF274E13"/>
      </patternFill>
    </fill>
    <fill>
      <patternFill patternType="solid">
        <fgColor rgb="FF0E7C7B"/>
        <bgColor rgb="FF008080"/>
      </patternFill>
    </fill>
    <fill>
      <patternFill patternType="solid">
        <fgColor rgb="FF4472C4"/>
        <bgColor rgb="FF4F81B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9" fillId="0" borderId="3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0" fillId="0" borderId="0" xfId="0" applyFont="1" applyAlignment="1">
      <alignment horizontal="righ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0" fontId="12" fillId="0" borderId="0" xfId="0" applyFont="1"/>
    <xf numFmtId="0" fontId="4" fillId="2" borderId="0" xfId="0" applyFont="1" applyFill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166" fontId="17" fillId="0" borderId="0" xfId="0" applyNumberFormat="1" applyFont="1" applyAlignment="1">
      <alignment horizontal="center"/>
    </xf>
    <xf numFmtId="0" fontId="11" fillId="0" borderId="0" xfId="0" applyFont="1"/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6" borderId="0" xfId="0" applyFont="1" applyFill="1" applyAlignment="1">
      <alignment horizontal="center" vertical="center"/>
    </xf>
    <xf numFmtId="0" fontId="24" fillId="0" borderId="0" xfId="0" applyFont="1"/>
    <xf numFmtId="165" fontId="17" fillId="0" borderId="0" xfId="0" applyNumberFormat="1" applyFont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4F81BD"/>
          <bgColor rgb="FF4472C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6" formatCode="0.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font>
        <b/>
        <sz val="10"/>
        <color rgb="FF274E13"/>
        <name val="Calibri"/>
        <charset val="1"/>
      </font>
      <fill>
        <patternFill>
          <bgColor rgb="FFD9EAD3"/>
        </patternFill>
      </fill>
    </dxf>
    <dxf>
      <font>
        <b/>
        <sz val="10"/>
        <color rgb="FF7F6000"/>
        <name val="Calibri"/>
        <charset val="1"/>
      </font>
      <fill>
        <patternFill>
          <bgColor rgb="FFFFF2CC"/>
        </patternFill>
      </fill>
    </dxf>
    <dxf>
      <font>
        <b/>
        <sz val="10"/>
        <color rgb="FF990000"/>
        <name val="Calibri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38761D"/>
      <rgbColor rgb="FF000080"/>
      <rgbColor rgb="FF7F6000"/>
      <rgbColor rgb="FF800080"/>
      <rgbColor rgb="FF0E7C7B"/>
      <rgbColor rgb="FFB3B3B3"/>
      <rgbColor rgb="FF808080"/>
      <rgbColor rgb="FFA6A6A6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274E13"/>
      <rgbColor rgb="FFB45F06"/>
      <rgbColor rgb="FF993366"/>
      <rgbColor rgb="FF5B2A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99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EC-4601-BBF5-50C15139A234}"/>
              </c:ext>
            </c:extLst>
          </c:dPt>
          <c:dPt>
            <c:idx val="1"/>
            <c:bubble3D val="0"/>
            <c:spPr>
              <a:solidFill>
                <a:srgbClr val="B45F0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EC-4601-BBF5-50C15139A234}"/>
              </c:ext>
            </c:extLst>
          </c:dPt>
          <c:dPt>
            <c:idx val="2"/>
            <c:bubble3D val="0"/>
            <c:spPr>
              <a:solidFill>
                <a:srgbClr val="3876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CEC-4601-BBF5-50C15139A23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CEC-4601-BBF5-50C15139A23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CEC-4601-BBF5-50C15139A23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CEC-4601-BBF5-50C15139A2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Dashboard!$A$14:$A$16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EC-4601-BBF5-50C15139A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Attendance Watch List (Lowest 8)</a:t>
            </a:r>
          </a:p>
        </c:rich>
      </c:tx>
      <c:layout>
        <c:manualLayout>
          <c:xMode val="edge"/>
          <c:yMode val="edge"/>
          <c:x val="0.11057760037567504"/>
          <c:y val="1.579601990049751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Dashboard!$C$20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rgbClr val="B45F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Dashboard!$B$21:$B$28</c:f>
              <c:strCache>
                <c:ptCount val="8"/>
                <c:pt idx="0">
                  <c:v>Andre Fenwick</c:v>
                </c:pt>
                <c:pt idx="1">
                  <c:v>Simone Rojas</c:v>
                </c:pt>
                <c:pt idx="2">
                  <c:v>Nora Achebe</c:v>
                </c:pt>
                <c:pt idx="3">
                  <c:v>Ronan Whitaker</c:v>
                </c:pt>
                <c:pt idx="4">
                  <c:v>Leilani Kamau</c:v>
                </c:pt>
                <c:pt idx="5">
                  <c:v>Aaliyah Suarez</c:v>
                </c:pt>
                <c:pt idx="6">
                  <c:v>Grace Bennett</c:v>
                </c:pt>
                <c:pt idx="7">
                  <c:v>Priya Nakamura</c:v>
                </c:pt>
              </c:strCache>
            </c:strRef>
          </c:cat>
          <c:val>
            <c:numRef>
              <c:f>Dashboard!$C$21:$C$28</c:f>
              <c:numCache>
                <c:formatCode>0.0\%</c:formatCode>
                <c:ptCount val="8"/>
                <c:pt idx="0">
                  <c:v>50.1</c:v>
                </c:pt>
                <c:pt idx="1">
                  <c:v>51.9</c:v>
                </c:pt>
                <c:pt idx="2">
                  <c:v>54.8</c:v>
                </c:pt>
                <c:pt idx="3">
                  <c:v>56.2</c:v>
                </c:pt>
                <c:pt idx="4">
                  <c:v>57.3</c:v>
                </c:pt>
                <c:pt idx="5">
                  <c:v>58.2</c:v>
                </c:pt>
                <c:pt idx="6">
                  <c:v>61</c:v>
                </c:pt>
                <c:pt idx="7">
                  <c:v>62.3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7-4835-912C-960BF7B2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45354"/>
        <c:axId val="19356574"/>
      </c:barChart>
      <c:catAx>
        <c:axId val="795453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56574"/>
        <c:crosses val="autoZero"/>
        <c:auto val="1"/>
        <c:lblAlgn val="ctr"/>
        <c:lblOffset val="100"/>
        <c:noMultiLvlLbl val="0"/>
      </c:catAx>
      <c:valAx>
        <c:axId val="193565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45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Risk Trend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990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Dashboard!$A$33:$A$42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Dashboard!$B$33:$B$42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C-45ED-9F18-FC1AE3D97AB7}"/>
            </c:ext>
          </c:extLst>
        </c:ser>
        <c:ser>
          <c:idx val="1"/>
          <c:order val="1"/>
          <c:tx>
            <c:strRef>
              <c:f>Dashboard!$C$32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B45F0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Dashboard!$A$33:$A$42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Dashboard!$C$33:$C$42</c:f>
              <c:numCache>
                <c:formatCode>General</c:formatCode>
                <c:ptCount val="10"/>
                <c:pt idx="0">
                  <c:v>14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C-45ED-9F18-FC1AE3D97AB7}"/>
            </c:ext>
          </c:extLst>
        </c:ser>
        <c:ser>
          <c:idx val="2"/>
          <c:order val="2"/>
          <c:tx>
            <c:strRef>
              <c:f>Dashboard!$D$32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38761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Dashboard!$A$33:$A$42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Dashboard!$D$33:$D$42</c:f>
              <c:numCache>
                <c:formatCode>General</c:formatCode>
                <c:ptCount val="10"/>
                <c:pt idx="0">
                  <c:v>14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C-45ED-9F18-FC1AE3D9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24717"/>
        <c:axId val="15581764"/>
      </c:barChart>
      <c:catAx>
        <c:axId val="46224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81764"/>
        <c:crosses val="autoZero"/>
        <c:auto val="1"/>
        <c:lblAlgn val="ctr"/>
        <c:lblOffset val="100"/>
        <c:noMultiLvlLbl val="0"/>
      </c:catAx>
      <c:valAx>
        <c:axId val="155817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247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489586</xdr:colOff>
      <xdr:row>10</xdr:row>
      <xdr:rowOff>62865</xdr:rowOff>
    </xdr:from>
    <xdr:to>
      <xdr:col>9</xdr:col>
      <xdr:colOff>600076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457200</xdr:colOff>
      <xdr:row>26</xdr:row>
      <xdr:rowOff>76200</xdr:rowOff>
    </xdr:from>
    <xdr:to>
      <xdr:col>14</xdr:col>
      <xdr:colOff>571500</xdr:colOff>
      <xdr:row>43</xdr:row>
      <xdr:rowOff>110850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718185</xdr:colOff>
      <xdr:row>10</xdr:row>
      <xdr:rowOff>76200</xdr:rowOff>
    </xdr:from>
    <xdr:to>
      <xdr:col>15</xdr:col>
      <xdr:colOff>19050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TrendLog" displayName="WeeklyTrendLog" ref="A32:D42" totalsRowShown="0">
  <autoFilter ref="A32:D42" xr:uid="{00000000-0009-0000-0100-000001000000}"/>
  <tableColumns count="4">
    <tableColumn id="1" xr3:uid="{00000000-0010-0000-0000-000001000000}" name="Week"/>
    <tableColumn id="2" xr3:uid="{00000000-0010-0000-0000-000002000000}" name="Red"/>
    <tableColumn id="3" xr3:uid="{00000000-0010-0000-0000-000003000000}" name="Yellow"/>
    <tableColumn id="4" xr3:uid="{00000000-0010-0000-0000-000004000000}" name="Gree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40B054-B691-4A71-B273-93E5F78D9A80}" name="Table2" displayName="Table2" ref="A1:J36" totalsRowShown="0" headerRowDxfId="0" dataDxfId="1">
  <autoFilter ref="A1:J36" xr:uid="{4C40B054-B691-4A71-B273-93E5F78D9A80}"/>
  <tableColumns count="10">
    <tableColumn id="1" xr3:uid="{E756479D-C859-4E84-83D4-877DC6E8D787}" name="Student ID" dataDxfId="11"/>
    <tableColumn id="2" xr3:uid="{E51591EE-EA20-4094-800E-943313601F6B}" name="Name" dataDxfId="10"/>
    <tableColumn id="3" xr3:uid="{B2907A04-79DB-47E8-ABF0-D0BE5056B766}" name="Test 1" dataDxfId="9"/>
    <tableColumn id="4" xr3:uid="{A249DA32-CA42-4EB0-A43B-AA502325AB06}" name="Test 2" dataDxfId="8"/>
    <tableColumn id="5" xr3:uid="{D02A91FD-5C85-4CCF-827B-ADFBA5EDFAD2}" name="Test 3" dataDxfId="7"/>
    <tableColumn id="6" xr3:uid="{DEA04250-E17D-4294-933D-A8EE0A452B8D}" name="Average" dataDxfId="6">
      <calculatedColumnFormula>ROUND(AVERAGE(C2:E2),1)</calculatedColumnFormula>
    </tableColumn>
    <tableColumn id="7" xr3:uid="{B1427AFF-23EB-47ED-8327-61ABDBAD99BC}" name="Attendance %" dataDxfId="5"/>
    <tableColumn id="8" xr3:uid="{90C7E5B0-74AE-4DFA-A948-32280F893C4D}" name="Academic Status" dataDxfId="4">
      <calculatedColumnFormula>IF(F2&lt;60,"FAIL","PASS")</calculatedColumnFormula>
    </tableColumn>
    <tableColumn id="9" xr3:uid="{6A2FDC64-EED3-44FE-97E4-D37FF6B23825}" name="Attendance Status" dataDxfId="3">
      <calculatedColumnFormula>IF(G2&lt;75,"FAIL","PASS")</calculatedColumnFormula>
    </tableColumn>
    <tableColumn id="10" xr3:uid="{2509E140-900E-474A-B29C-6FF41F8C7B39}" name="Risk Category" dataDxfId="2">
      <calculatedColumnFormula>IF(AND(H2="FAIL",I2="FAIL"),"RED - Dual Risk",IF(OR(H2="FAIL",I2="FAIL"),"YELLOW - Single Risk","GREEN - Satisfactory"))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showGridLines="0" tabSelected="1" zoomScale="70" zoomScaleNormal="70" workbookViewId="0">
      <selection activeCell="S37" sqref="S37"/>
    </sheetView>
  </sheetViews>
  <sheetFormatPr defaultColWidth="8.6640625" defaultRowHeight="14.4" x14ac:dyDescent="0.3"/>
  <cols>
    <col min="1" max="12" width="10.5546875" customWidth="1"/>
    <col min="13" max="14" width="22" customWidth="1"/>
  </cols>
  <sheetData>
    <row r="1" spans="1:14" ht="33.7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1</v>
      </c>
    </row>
    <row r="2" spans="1:14" ht="18" customHeight="1" x14ac:dyDescent="0.3"/>
    <row r="3" spans="1:14" ht="15" customHeight="1" x14ac:dyDescent="0.3">
      <c r="A3" s="9" t="s">
        <v>2</v>
      </c>
      <c r="B3" s="9"/>
      <c r="C3" s="8" t="s">
        <v>3</v>
      </c>
      <c r="D3" s="8"/>
      <c r="F3" s="7" t="s">
        <v>4</v>
      </c>
      <c r="G3" s="7"/>
      <c r="H3" s="6" t="s">
        <v>5</v>
      </c>
      <c r="I3" s="6"/>
      <c r="M3" s="12" t="s">
        <v>2</v>
      </c>
      <c r="N3" s="12">
        <f>COUNTA('Student Data'!A2:A36)</f>
        <v>35</v>
      </c>
    </row>
    <row r="4" spans="1:14" ht="19.5" customHeight="1" x14ac:dyDescent="0.3">
      <c r="A4" s="5">
        <f>N3</f>
        <v>35</v>
      </c>
      <c r="B4" s="5"/>
      <c r="C4" s="4">
        <f>N7</f>
        <v>21</v>
      </c>
      <c r="D4" s="4"/>
      <c r="F4" s="3">
        <f>N6</f>
        <v>14</v>
      </c>
      <c r="G4" s="3"/>
      <c r="H4" s="2">
        <f>N8</f>
        <v>0.4</v>
      </c>
      <c r="I4" s="2"/>
      <c r="M4" s="12" t="s">
        <v>6</v>
      </c>
      <c r="N4" s="12">
        <f>COUNTIF('Student Data'!J2:J36,"RED - Dual Risk")</f>
        <v>7</v>
      </c>
    </row>
    <row r="5" spans="1:14" ht="30" customHeight="1" x14ac:dyDescent="0.3">
      <c r="A5" s="5"/>
      <c r="B5" s="5"/>
      <c r="C5" s="4"/>
      <c r="D5" s="4"/>
      <c r="F5" s="3"/>
      <c r="G5" s="3"/>
      <c r="H5" s="2"/>
      <c r="I5" s="2"/>
      <c r="M5" s="12" t="s">
        <v>7</v>
      </c>
      <c r="N5" s="12">
        <f>COUNTIF('Student Data'!J2:J36,"YELLOW - Single Risk")</f>
        <v>14</v>
      </c>
    </row>
    <row r="6" spans="1:14" ht="30" customHeight="1" x14ac:dyDescent="0.3">
      <c r="A6" s="5"/>
      <c r="B6" s="5"/>
      <c r="C6" s="4"/>
      <c r="D6" s="4"/>
      <c r="F6" s="3"/>
      <c r="G6" s="3"/>
      <c r="H6" s="2"/>
      <c r="I6" s="2"/>
      <c r="M6" s="12" t="s">
        <v>8</v>
      </c>
      <c r="N6" s="12">
        <f>COUNTIF('Student Data'!J2:J36,"GREEN - Satisfactory")</f>
        <v>14</v>
      </c>
    </row>
    <row r="7" spans="1:14" ht="30" customHeight="1" x14ac:dyDescent="0.3">
      <c r="A7" s="1" t="s">
        <v>10</v>
      </c>
      <c r="B7" s="1"/>
      <c r="C7" s="1" t="s">
        <v>10</v>
      </c>
      <c r="D7" s="1"/>
      <c r="F7" s="1" t="s">
        <v>10</v>
      </c>
      <c r="G7" s="1"/>
      <c r="H7" s="1" t="s">
        <v>11</v>
      </c>
      <c r="I7" s="1"/>
      <c r="M7" s="12" t="s">
        <v>9</v>
      </c>
      <c r="N7" s="12">
        <f>N4+N5</f>
        <v>21</v>
      </c>
    </row>
    <row r="8" spans="1:14" ht="15.75" customHeight="1" x14ac:dyDescent="0.3">
      <c r="M8" s="12" t="s">
        <v>12</v>
      </c>
      <c r="N8" s="12">
        <f>N6/N3</f>
        <v>0.4</v>
      </c>
    </row>
    <row r="9" spans="1:14" ht="15" customHeight="1" x14ac:dyDescent="0.3">
      <c r="A9" s="13" t="s">
        <v>14</v>
      </c>
      <c r="B9" s="14">
        <f>N9</f>
        <v>68.417142857142849</v>
      </c>
      <c r="D9" s="13" t="s">
        <v>15</v>
      </c>
      <c r="E9" s="15">
        <f>N10</f>
        <v>76.922857142857154</v>
      </c>
      <c r="G9" s="13" t="s">
        <v>16</v>
      </c>
      <c r="H9" s="14">
        <f>N11</f>
        <v>34.700000000000003</v>
      </c>
      <c r="J9" s="13" t="s">
        <v>17</v>
      </c>
      <c r="K9" s="15">
        <f>N12</f>
        <v>50.1</v>
      </c>
      <c r="M9" s="12" t="s">
        <v>13</v>
      </c>
      <c r="N9" s="12">
        <f>AVERAGE('Student Data'!F2:F36)</f>
        <v>68.417142857142849</v>
      </c>
    </row>
    <row r="10" spans="1:14" ht="15" customHeight="1" x14ac:dyDescent="0.3">
      <c r="M10" s="12" t="s">
        <v>18</v>
      </c>
      <c r="N10" s="12">
        <f>AVERAGE('Student Data'!G2:G36)</f>
        <v>76.922857142857154</v>
      </c>
    </row>
    <row r="11" spans="1:14" ht="15" customHeight="1" x14ac:dyDescent="0.3">
      <c r="M11" s="12" t="s">
        <v>19</v>
      </c>
      <c r="N11" s="12">
        <f>MIN('Student Data'!F2:F36)</f>
        <v>34.700000000000003</v>
      </c>
    </row>
    <row r="12" spans="1:14" ht="15" customHeight="1" x14ac:dyDescent="0.3">
      <c r="A12" s="16" t="s">
        <v>21</v>
      </c>
      <c r="M12" s="12" t="s">
        <v>20</v>
      </c>
      <c r="N12" s="12">
        <f>MIN('Student Data'!G2:G36)</f>
        <v>50.1</v>
      </c>
    </row>
    <row r="13" spans="1:14" ht="15" customHeight="1" x14ac:dyDescent="0.3">
      <c r="A13" s="17" t="s">
        <v>22</v>
      </c>
      <c r="B13" s="17" t="s">
        <v>23</v>
      </c>
    </row>
    <row r="14" spans="1:14" ht="15" customHeight="1" x14ac:dyDescent="0.3">
      <c r="A14" s="18" t="s">
        <v>24</v>
      </c>
      <c r="B14" s="19">
        <f>N4</f>
        <v>7</v>
      </c>
    </row>
    <row r="15" spans="1:14" ht="15" customHeight="1" x14ac:dyDescent="0.3">
      <c r="A15" s="20" t="s">
        <v>25</v>
      </c>
      <c r="B15" s="19">
        <f>N5</f>
        <v>14</v>
      </c>
    </row>
    <row r="16" spans="1:14" ht="15" customHeight="1" x14ac:dyDescent="0.3">
      <c r="A16" s="21" t="s">
        <v>26</v>
      </c>
      <c r="B16" s="19">
        <f>N6</f>
        <v>14</v>
      </c>
    </row>
    <row r="17" spans="1:4" ht="15" customHeight="1" x14ac:dyDescent="0.3"/>
    <row r="19" spans="1:4" ht="15.6" x14ac:dyDescent="0.3">
      <c r="A19" s="16" t="s">
        <v>27</v>
      </c>
      <c r="D19" s="22"/>
    </row>
    <row r="20" spans="1:4" ht="15" customHeight="1" x14ac:dyDescent="0.3">
      <c r="A20" s="17" t="s">
        <v>28</v>
      </c>
      <c r="B20" s="17" t="s">
        <v>29</v>
      </c>
      <c r="C20" s="17" t="s">
        <v>30</v>
      </c>
    </row>
    <row r="21" spans="1:4" ht="15" customHeight="1" x14ac:dyDescent="0.3">
      <c r="A21" s="23">
        <v>1</v>
      </c>
      <c r="B21" s="23" t="str">
        <f>INDEX('Student Data'!$B$2:$B$36,MATCH(SMALL('Student Data'!$R$2:$R$36,1),'Student Data'!$R$2:$R$36,0))</f>
        <v>Andre Fenwick</v>
      </c>
      <c r="C21" s="24">
        <f>SMALL('Student Data'!$G$2:$G$36,1)</f>
        <v>50.1</v>
      </c>
    </row>
    <row r="22" spans="1:4" ht="15" customHeight="1" x14ac:dyDescent="0.3">
      <c r="A22" s="23">
        <v>2</v>
      </c>
      <c r="B22" s="23" t="str">
        <f>INDEX('Student Data'!$B$2:$B$36,MATCH(SMALL('Student Data'!$R$2:$R$36,2),'Student Data'!$R$2:$R$36,0))</f>
        <v>Simone Rojas</v>
      </c>
      <c r="C22" s="24">
        <f>SMALL('Student Data'!$G$2:$G$36,2)</f>
        <v>51.9</v>
      </c>
    </row>
    <row r="23" spans="1:4" ht="15" customHeight="1" x14ac:dyDescent="0.3">
      <c r="A23" s="23">
        <v>3</v>
      </c>
      <c r="B23" s="23" t="str">
        <f>INDEX('Student Data'!$B$2:$B$36,MATCH(SMALL('Student Data'!$R$2:$R$36,3),'Student Data'!$R$2:$R$36,0))</f>
        <v>Nora Achebe</v>
      </c>
      <c r="C23" s="24">
        <f>SMALL('Student Data'!$G$2:$G$36,3)</f>
        <v>54.8</v>
      </c>
    </row>
    <row r="24" spans="1:4" ht="15" customHeight="1" x14ac:dyDescent="0.3">
      <c r="A24" s="23">
        <v>4</v>
      </c>
      <c r="B24" s="23" t="str">
        <f>INDEX('Student Data'!$B$2:$B$36,MATCH(SMALL('Student Data'!$R$2:$R$36,4),'Student Data'!$R$2:$R$36,0))</f>
        <v>Ronan Whitaker</v>
      </c>
      <c r="C24" s="24">
        <f>SMALL('Student Data'!$G$2:$G$36,4)</f>
        <v>56.2</v>
      </c>
    </row>
    <row r="25" spans="1:4" ht="15" customHeight="1" x14ac:dyDescent="0.3">
      <c r="A25" s="23">
        <v>5</v>
      </c>
      <c r="B25" s="23" t="str">
        <f>INDEX('Student Data'!$B$2:$B$36,MATCH(SMALL('Student Data'!$R$2:$R$36,5),'Student Data'!$R$2:$R$36,0))</f>
        <v>Leilani Kamau</v>
      </c>
      <c r="C25" s="24">
        <f>SMALL('Student Data'!$G$2:$G$36,5)</f>
        <v>57.3</v>
      </c>
    </row>
    <row r="26" spans="1:4" ht="15" customHeight="1" x14ac:dyDescent="0.3">
      <c r="A26" s="23">
        <v>6</v>
      </c>
      <c r="B26" s="23" t="str">
        <f>INDEX('Student Data'!$B$2:$B$36,MATCH(SMALL('Student Data'!$R$2:$R$36,6),'Student Data'!$R$2:$R$36,0))</f>
        <v>Aaliyah Suarez</v>
      </c>
      <c r="C26" s="24">
        <f>SMALL('Student Data'!$G$2:$G$36,6)</f>
        <v>58.2</v>
      </c>
    </row>
    <row r="27" spans="1:4" ht="15" customHeight="1" x14ac:dyDescent="0.3">
      <c r="A27" s="23">
        <v>7</v>
      </c>
      <c r="B27" s="23" t="str">
        <f>INDEX('Student Data'!$B$2:$B$36,MATCH(SMALL('Student Data'!$R$2:$R$36,7),'Student Data'!$R$2:$R$36,0))</f>
        <v>Grace Bennett</v>
      </c>
      <c r="C27" s="24">
        <f>SMALL('Student Data'!$G$2:$G$36,7)</f>
        <v>61</v>
      </c>
    </row>
    <row r="28" spans="1:4" ht="15" customHeight="1" x14ac:dyDescent="0.3">
      <c r="A28" s="23">
        <v>8</v>
      </c>
      <c r="B28" s="23" t="str">
        <f>INDEX('Student Data'!$B$2:$B$36,MATCH(SMALL('Student Data'!$R$2:$R$36,8),'Student Data'!$R$2:$R$36,0))</f>
        <v>Priya Nakamura</v>
      </c>
      <c r="C28" s="24">
        <f>SMALL('Student Data'!$G$2:$G$36,8)</f>
        <v>62.3</v>
      </c>
    </row>
    <row r="29" spans="1:4" ht="15" customHeight="1" x14ac:dyDescent="0.3"/>
    <row r="31" spans="1:4" x14ac:dyDescent="0.3">
      <c r="A31" s="25" t="s">
        <v>31</v>
      </c>
    </row>
    <row r="32" spans="1:4" ht="15" customHeight="1" x14ac:dyDescent="0.3">
      <c r="A32" s="17" t="s">
        <v>32</v>
      </c>
      <c r="B32" s="17" t="s">
        <v>33</v>
      </c>
      <c r="C32" s="17" t="s">
        <v>34</v>
      </c>
      <c r="D32" s="17" t="s">
        <v>35</v>
      </c>
    </row>
    <row r="33" spans="1:4" ht="15" customHeight="1" x14ac:dyDescent="0.3">
      <c r="A33" s="26" t="s">
        <v>36</v>
      </c>
      <c r="B33" s="27">
        <f>N4</f>
        <v>7</v>
      </c>
      <c r="C33" s="28">
        <f>N5</f>
        <v>14</v>
      </c>
      <c r="D33" s="29">
        <f>N6</f>
        <v>14</v>
      </c>
    </row>
    <row r="34" spans="1:4" ht="15" customHeight="1" x14ac:dyDescent="0.3">
      <c r="A34" s="23" t="s">
        <v>37</v>
      </c>
      <c r="B34" s="30">
        <v>6</v>
      </c>
      <c r="C34" s="31">
        <v>9</v>
      </c>
      <c r="D34" s="32">
        <v>20</v>
      </c>
    </row>
    <row r="35" spans="1:4" ht="15" customHeight="1" x14ac:dyDescent="0.3">
      <c r="A35" s="23" t="s">
        <v>38</v>
      </c>
      <c r="B35" s="30">
        <v>8</v>
      </c>
      <c r="C35" s="31">
        <v>7</v>
      </c>
      <c r="D35" s="32">
        <v>20</v>
      </c>
    </row>
    <row r="36" spans="1:4" ht="15" customHeight="1" x14ac:dyDescent="0.3">
      <c r="A36" s="23" t="s">
        <v>39</v>
      </c>
      <c r="B36" s="30">
        <v>7</v>
      </c>
      <c r="C36" s="31">
        <v>8</v>
      </c>
      <c r="D36" s="32">
        <v>20</v>
      </c>
    </row>
    <row r="37" spans="1:4" ht="15" customHeight="1" x14ac:dyDescent="0.3">
      <c r="A37" s="23" t="s">
        <v>40</v>
      </c>
      <c r="B37" s="30">
        <v>6</v>
      </c>
      <c r="C37" s="31">
        <v>7</v>
      </c>
      <c r="D37" s="32">
        <v>22</v>
      </c>
    </row>
    <row r="38" spans="1:4" ht="15" customHeight="1" x14ac:dyDescent="0.3">
      <c r="A38" s="23" t="s">
        <v>41</v>
      </c>
      <c r="B38" s="30">
        <v>5</v>
      </c>
      <c r="C38" s="31">
        <v>6</v>
      </c>
      <c r="D38" s="32">
        <v>24</v>
      </c>
    </row>
    <row r="39" spans="1:4" ht="15" customHeight="1" x14ac:dyDescent="0.3">
      <c r="A39" s="33" t="s">
        <v>42</v>
      </c>
    </row>
    <row r="40" spans="1:4" x14ac:dyDescent="0.3">
      <c r="A40" s="33" t="s">
        <v>43</v>
      </c>
    </row>
    <row r="41" spans="1:4" x14ac:dyDescent="0.3">
      <c r="A41" s="33" t="s">
        <v>44</v>
      </c>
    </row>
    <row r="42" spans="1:4" x14ac:dyDescent="0.3">
      <c r="A42" s="33" t="s">
        <v>45</v>
      </c>
    </row>
  </sheetData>
  <mergeCells count="13">
    <mergeCell ref="A4:B6"/>
    <mergeCell ref="C4:D6"/>
    <mergeCell ref="F4:G6"/>
    <mergeCell ref="H4:I6"/>
    <mergeCell ref="A7:B7"/>
    <mergeCell ref="C7:D7"/>
    <mergeCell ref="F7:G7"/>
    <mergeCell ref="H7:I7"/>
    <mergeCell ref="A1:L1"/>
    <mergeCell ref="A3:B3"/>
    <mergeCell ref="C3:D3"/>
    <mergeCell ref="F3:G3"/>
    <mergeCell ref="H3:I3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zoomScaleNormal="100" workbookViewId="0">
      <pane ySplit="1" topLeftCell="A2" activePane="bottomLeft" state="frozen"/>
      <selection pane="bottomLeft" activeCell="F6" sqref="F6"/>
    </sheetView>
  </sheetViews>
  <sheetFormatPr defaultColWidth="8.6640625" defaultRowHeight="14.4" x14ac:dyDescent="0.3"/>
  <cols>
    <col min="1" max="1" width="12" customWidth="1"/>
    <col min="2" max="2" width="18" customWidth="1"/>
    <col min="3" max="5" width="8" customWidth="1"/>
    <col min="6" max="6" width="10" customWidth="1"/>
    <col min="7" max="7" width="14.5546875" customWidth="1"/>
    <col min="8" max="8" width="16.77734375" customWidth="1"/>
    <col min="9" max="9" width="18.33203125" customWidth="1"/>
    <col min="10" max="10" width="20" customWidth="1"/>
  </cols>
  <sheetData>
    <row r="1" spans="1:18" ht="15" customHeight="1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30</v>
      </c>
      <c r="H1" s="34" t="s">
        <v>52</v>
      </c>
      <c r="I1" s="34" t="s">
        <v>53</v>
      </c>
      <c r="J1" s="34" t="s">
        <v>54</v>
      </c>
      <c r="R1" s="35" t="s">
        <v>55</v>
      </c>
    </row>
    <row r="2" spans="1:18" ht="15" customHeight="1" x14ac:dyDescent="0.3">
      <c r="A2" s="23" t="s">
        <v>56</v>
      </c>
      <c r="B2" s="23" t="s">
        <v>57</v>
      </c>
      <c r="C2" s="23">
        <v>34</v>
      </c>
      <c r="D2" s="23">
        <v>47</v>
      </c>
      <c r="E2" s="23">
        <v>33</v>
      </c>
      <c r="F2" s="36">
        <f t="shared" ref="F2:F36" si="0">ROUND(AVERAGE(C2:E2),1)</f>
        <v>38</v>
      </c>
      <c r="G2" s="24">
        <v>61</v>
      </c>
      <c r="H2" s="23" t="str">
        <f t="shared" ref="H2:H36" si="1">IF(F2&lt;60,"FAIL","PASS")</f>
        <v>FAIL</v>
      </c>
      <c r="I2" s="23" t="str">
        <f t="shared" ref="I2:I36" si="2">IF(G2&lt;75,"FAIL","PASS")</f>
        <v>FAIL</v>
      </c>
      <c r="J2" s="23" t="str">
        <f t="shared" ref="J2:J36" si="3">IF(AND(H2="FAIL",I2="FAIL"),"RED - Dual Risk",IF(OR(H2="FAIL",I2="FAIL"),"YELLOW - Single Risk","GREEN - Satisfactory"))</f>
        <v>RED - Dual Risk</v>
      </c>
      <c r="R2" s="37">
        <f t="shared" ref="R2:R36" si="4">G2+(ROW()-1)/1000000</f>
        <v>61.000000999999997</v>
      </c>
    </row>
    <row r="3" spans="1:18" ht="15" customHeight="1" x14ac:dyDescent="0.3">
      <c r="A3" s="23" t="s">
        <v>58</v>
      </c>
      <c r="B3" s="23" t="s">
        <v>59</v>
      </c>
      <c r="C3" s="23">
        <v>97</v>
      </c>
      <c r="D3" s="23">
        <v>73</v>
      </c>
      <c r="E3" s="23">
        <v>68</v>
      </c>
      <c r="F3" s="36">
        <f t="shared" si="0"/>
        <v>79.3</v>
      </c>
      <c r="G3" s="24">
        <v>63.1</v>
      </c>
      <c r="H3" s="23" t="str">
        <f t="shared" si="1"/>
        <v>PASS</v>
      </c>
      <c r="I3" s="23" t="str">
        <f t="shared" si="2"/>
        <v>FAIL</v>
      </c>
      <c r="J3" s="23" t="str">
        <f t="shared" si="3"/>
        <v>YELLOW - Single Risk</v>
      </c>
      <c r="R3" s="37">
        <f t="shared" si="4"/>
        <v>63.100002000000003</v>
      </c>
    </row>
    <row r="4" spans="1:18" ht="15" customHeight="1" x14ac:dyDescent="0.3">
      <c r="A4" s="23" t="s">
        <v>60</v>
      </c>
      <c r="B4" s="23" t="s">
        <v>61</v>
      </c>
      <c r="C4" s="23">
        <v>75</v>
      </c>
      <c r="D4" s="23">
        <v>86</v>
      </c>
      <c r="E4" s="23">
        <v>69</v>
      </c>
      <c r="F4" s="36">
        <f t="shared" si="0"/>
        <v>76.7</v>
      </c>
      <c r="G4" s="24">
        <v>90.1</v>
      </c>
      <c r="H4" s="23" t="str">
        <f t="shared" si="1"/>
        <v>PASS</v>
      </c>
      <c r="I4" s="23" t="str">
        <f t="shared" si="2"/>
        <v>PASS</v>
      </c>
      <c r="J4" s="23" t="str">
        <f t="shared" si="3"/>
        <v>GREEN - Satisfactory</v>
      </c>
      <c r="R4" s="37">
        <f t="shared" si="4"/>
        <v>90.100003000000001</v>
      </c>
    </row>
    <row r="5" spans="1:18" ht="15" customHeight="1" x14ac:dyDescent="0.3">
      <c r="A5" s="23" t="s">
        <v>62</v>
      </c>
      <c r="B5" s="23" t="s">
        <v>63</v>
      </c>
      <c r="C5" s="23">
        <v>32</v>
      </c>
      <c r="D5" s="23">
        <v>48</v>
      </c>
      <c r="E5" s="23">
        <v>31</v>
      </c>
      <c r="F5" s="36">
        <f t="shared" si="0"/>
        <v>37</v>
      </c>
      <c r="G5" s="24">
        <v>62.3</v>
      </c>
      <c r="H5" s="23" t="str">
        <f t="shared" si="1"/>
        <v>FAIL</v>
      </c>
      <c r="I5" s="23" t="str">
        <f t="shared" si="2"/>
        <v>FAIL</v>
      </c>
      <c r="J5" s="23" t="str">
        <f t="shared" si="3"/>
        <v>RED - Dual Risk</v>
      </c>
      <c r="R5" s="37">
        <f t="shared" si="4"/>
        <v>62.300003999999994</v>
      </c>
    </row>
    <row r="6" spans="1:18" ht="15" customHeight="1" x14ac:dyDescent="0.3">
      <c r="A6" s="23" t="s">
        <v>64</v>
      </c>
      <c r="B6" s="23" t="s">
        <v>65</v>
      </c>
      <c r="C6" s="23">
        <v>94</v>
      </c>
      <c r="D6" s="23">
        <v>97</v>
      </c>
      <c r="E6" s="23">
        <v>90</v>
      </c>
      <c r="F6" s="36">
        <f t="shared" si="0"/>
        <v>93.7</v>
      </c>
      <c r="G6" s="24">
        <v>95.1</v>
      </c>
      <c r="H6" s="23" t="str">
        <f t="shared" si="1"/>
        <v>PASS</v>
      </c>
      <c r="I6" s="23" t="str">
        <f t="shared" si="2"/>
        <v>PASS</v>
      </c>
      <c r="J6" s="23" t="str">
        <f t="shared" si="3"/>
        <v>GREEN - Satisfactory</v>
      </c>
      <c r="R6" s="37">
        <f t="shared" si="4"/>
        <v>95.100004999999996</v>
      </c>
    </row>
    <row r="7" spans="1:18" ht="15" customHeight="1" x14ac:dyDescent="0.3">
      <c r="A7" s="23" t="s">
        <v>66</v>
      </c>
      <c r="B7" s="23" t="s">
        <v>67</v>
      </c>
      <c r="C7" s="23">
        <v>52</v>
      </c>
      <c r="D7" s="23">
        <v>56</v>
      </c>
      <c r="E7" s="23">
        <v>52</v>
      </c>
      <c r="F7" s="36">
        <f t="shared" si="0"/>
        <v>53.3</v>
      </c>
      <c r="G7" s="24">
        <v>85.6</v>
      </c>
      <c r="H7" s="23" t="str">
        <f t="shared" si="1"/>
        <v>FAIL</v>
      </c>
      <c r="I7" s="23" t="str">
        <f t="shared" si="2"/>
        <v>PASS</v>
      </c>
      <c r="J7" s="23" t="str">
        <f t="shared" si="3"/>
        <v>YELLOW - Single Risk</v>
      </c>
      <c r="R7" s="37">
        <f t="shared" si="4"/>
        <v>85.600005999999993</v>
      </c>
    </row>
    <row r="8" spans="1:18" ht="15" customHeight="1" x14ac:dyDescent="0.3">
      <c r="A8" s="23" t="s">
        <v>68</v>
      </c>
      <c r="B8" s="23" t="s">
        <v>69</v>
      </c>
      <c r="C8" s="23">
        <v>77</v>
      </c>
      <c r="D8" s="23">
        <v>73</v>
      </c>
      <c r="E8" s="23">
        <v>77</v>
      </c>
      <c r="F8" s="36">
        <f t="shared" si="0"/>
        <v>75.7</v>
      </c>
      <c r="G8" s="24">
        <v>50.1</v>
      </c>
      <c r="H8" s="23" t="str">
        <f t="shared" si="1"/>
        <v>PASS</v>
      </c>
      <c r="I8" s="23" t="str">
        <f t="shared" si="2"/>
        <v>FAIL</v>
      </c>
      <c r="J8" s="23" t="str">
        <f t="shared" si="3"/>
        <v>YELLOW - Single Risk</v>
      </c>
      <c r="R8" s="37">
        <f t="shared" si="4"/>
        <v>50.100006999999998</v>
      </c>
    </row>
    <row r="9" spans="1:18" ht="15" customHeight="1" x14ac:dyDescent="0.3">
      <c r="A9" s="23" t="s">
        <v>70</v>
      </c>
      <c r="B9" s="23" t="s">
        <v>71</v>
      </c>
      <c r="C9" s="23">
        <v>82</v>
      </c>
      <c r="D9" s="23">
        <v>96</v>
      </c>
      <c r="E9" s="23">
        <v>94</v>
      </c>
      <c r="F9" s="36">
        <f t="shared" si="0"/>
        <v>90.7</v>
      </c>
      <c r="G9" s="24">
        <v>97.3</v>
      </c>
      <c r="H9" s="23" t="str">
        <f t="shared" si="1"/>
        <v>PASS</v>
      </c>
      <c r="I9" s="23" t="str">
        <f t="shared" si="2"/>
        <v>PASS</v>
      </c>
      <c r="J9" s="23" t="str">
        <f t="shared" si="3"/>
        <v>GREEN - Satisfactory</v>
      </c>
      <c r="R9" s="37">
        <f t="shared" si="4"/>
        <v>97.300007999999991</v>
      </c>
    </row>
    <row r="10" spans="1:18" ht="15" customHeight="1" x14ac:dyDescent="0.3">
      <c r="A10" s="23" t="s">
        <v>72</v>
      </c>
      <c r="B10" s="23" t="s">
        <v>73</v>
      </c>
      <c r="C10" s="23">
        <v>52</v>
      </c>
      <c r="D10" s="23">
        <v>47</v>
      </c>
      <c r="E10" s="23">
        <v>57</v>
      </c>
      <c r="F10" s="36">
        <f t="shared" si="0"/>
        <v>52</v>
      </c>
      <c r="G10" s="24">
        <v>98.6</v>
      </c>
      <c r="H10" s="23" t="str">
        <f t="shared" si="1"/>
        <v>FAIL</v>
      </c>
      <c r="I10" s="23" t="str">
        <f t="shared" si="2"/>
        <v>PASS</v>
      </c>
      <c r="J10" s="23" t="str">
        <f t="shared" si="3"/>
        <v>YELLOW - Single Risk</v>
      </c>
      <c r="R10" s="37">
        <f t="shared" si="4"/>
        <v>98.600009</v>
      </c>
    </row>
    <row r="11" spans="1:18" ht="15" customHeight="1" x14ac:dyDescent="0.3">
      <c r="A11" s="23" t="s">
        <v>74</v>
      </c>
      <c r="B11" s="23" t="s">
        <v>75</v>
      </c>
      <c r="C11" s="23">
        <v>70</v>
      </c>
      <c r="D11" s="23">
        <v>95</v>
      </c>
      <c r="E11" s="23">
        <v>89</v>
      </c>
      <c r="F11" s="36">
        <f t="shared" si="0"/>
        <v>84.7</v>
      </c>
      <c r="G11" s="24">
        <v>81.599999999999994</v>
      </c>
      <c r="H11" s="23" t="str">
        <f t="shared" si="1"/>
        <v>PASS</v>
      </c>
      <c r="I11" s="23" t="str">
        <f t="shared" si="2"/>
        <v>PASS</v>
      </c>
      <c r="J11" s="23" t="str">
        <f t="shared" si="3"/>
        <v>GREEN - Satisfactory</v>
      </c>
      <c r="R11" s="37">
        <f t="shared" si="4"/>
        <v>81.600009999999997</v>
      </c>
    </row>
    <row r="12" spans="1:18" ht="15" customHeight="1" x14ac:dyDescent="0.3">
      <c r="A12" s="23" t="s">
        <v>76</v>
      </c>
      <c r="B12" s="23" t="s">
        <v>77</v>
      </c>
      <c r="C12" s="23">
        <v>84</v>
      </c>
      <c r="D12" s="23">
        <v>72</v>
      </c>
      <c r="E12" s="23">
        <v>94</v>
      </c>
      <c r="F12" s="36">
        <f t="shared" si="0"/>
        <v>83.3</v>
      </c>
      <c r="G12" s="24">
        <v>87.3</v>
      </c>
      <c r="H12" s="23" t="str">
        <f t="shared" si="1"/>
        <v>PASS</v>
      </c>
      <c r="I12" s="23" t="str">
        <f t="shared" si="2"/>
        <v>PASS</v>
      </c>
      <c r="J12" s="23" t="str">
        <f t="shared" si="3"/>
        <v>GREEN - Satisfactory</v>
      </c>
      <c r="R12" s="37">
        <f t="shared" si="4"/>
        <v>87.300010999999998</v>
      </c>
    </row>
    <row r="13" spans="1:18" ht="15" customHeight="1" x14ac:dyDescent="0.3">
      <c r="A13" s="23" t="s">
        <v>78</v>
      </c>
      <c r="B13" s="23" t="s">
        <v>79</v>
      </c>
      <c r="C13" s="23">
        <v>67</v>
      </c>
      <c r="D13" s="23">
        <v>98</v>
      </c>
      <c r="E13" s="23">
        <v>99</v>
      </c>
      <c r="F13" s="36">
        <f t="shared" si="0"/>
        <v>88</v>
      </c>
      <c r="G13" s="24">
        <v>95.4</v>
      </c>
      <c r="H13" s="23" t="str">
        <f t="shared" si="1"/>
        <v>PASS</v>
      </c>
      <c r="I13" s="23" t="str">
        <f t="shared" si="2"/>
        <v>PASS</v>
      </c>
      <c r="J13" s="23" t="str">
        <f t="shared" si="3"/>
        <v>GREEN - Satisfactory</v>
      </c>
      <c r="R13" s="37">
        <f t="shared" si="4"/>
        <v>95.400012000000004</v>
      </c>
    </row>
    <row r="14" spans="1:18" ht="15" customHeight="1" x14ac:dyDescent="0.3">
      <c r="A14" s="23" t="s">
        <v>80</v>
      </c>
      <c r="B14" s="23" t="s">
        <v>81</v>
      </c>
      <c r="C14" s="23">
        <v>56</v>
      </c>
      <c r="D14" s="23">
        <v>40</v>
      </c>
      <c r="E14" s="23">
        <v>40</v>
      </c>
      <c r="F14" s="36">
        <f t="shared" si="0"/>
        <v>45.3</v>
      </c>
      <c r="G14" s="24">
        <v>64.5</v>
      </c>
      <c r="H14" s="23" t="str">
        <f t="shared" si="1"/>
        <v>FAIL</v>
      </c>
      <c r="I14" s="23" t="str">
        <f t="shared" si="2"/>
        <v>FAIL</v>
      </c>
      <c r="J14" s="23" t="str">
        <f t="shared" si="3"/>
        <v>RED - Dual Risk</v>
      </c>
      <c r="R14" s="37">
        <f t="shared" si="4"/>
        <v>64.500012999999996</v>
      </c>
    </row>
    <row r="15" spans="1:18" ht="15" customHeight="1" x14ac:dyDescent="0.3">
      <c r="A15" s="23" t="s">
        <v>82</v>
      </c>
      <c r="B15" s="23" t="s">
        <v>83</v>
      </c>
      <c r="C15" s="23">
        <v>94</v>
      </c>
      <c r="D15" s="23">
        <v>92</v>
      </c>
      <c r="E15" s="23">
        <v>67</v>
      </c>
      <c r="F15" s="36">
        <f t="shared" si="0"/>
        <v>84.3</v>
      </c>
      <c r="G15" s="24">
        <v>96.5</v>
      </c>
      <c r="H15" s="23" t="str">
        <f t="shared" si="1"/>
        <v>PASS</v>
      </c>
      <c r="I15" s="23" t="str">
        <f t="shared" si="2"/>
        <v>PASS</v>
      </c>
      <c r="J15" s="23" t="str">
        <f t="shared" si="3"/>
        <v>GREEN - Satisfactory</v>
      </c>
      <c r="R15" s="37">
        <f t="shared" si="4"/>
        <v>96.500013999999993</v>
      </c>
    </row>
    <row r="16" spans="1:18" ht="15" customHeight="1" x14ac:dyDescent="0.3">
      <c r="A16" s="23" t="s">
        <v>84</v>
      </c>
      <c r="B16" s="23" t="s">
        <v>85</v>
      </c>
      <c r="C16" s="23">
        <v>46</v>
      </c>
      <c r="D16" s="23">
        <v>53</v>
      </c>
      <c r="E16" s="23">
        <v>59</v>
      </c>
      <c r="F16" s="36">
        <f t="shared" si="0"/>
        <v>52.7</v>
      </c>
      <c r="G16" s="24">
        <v>79.400000000000006</v>
      </c>
      <c r="H16" s="23" t="str">
        <f t="shared" si="1"/>
        <v>FAIL</v>
      </c>
      <c r="I16" s="23" t="str">
        <f t="shared" si="2"/>
        <v>PASS</v>
      </c>
      <c r="J16" s="23" t="str">
        <f t="shared" si="3"/>
        <v>YELLOW - Single Risk</v>
      </c>
      <c r="R16" s="37">
        <f t="shared" si="4"/>
        <v>79.40001500000001</v>
      </c>
    </row>
    <row r="17" spans="1:18" ht="15" customHeight="1" x14ac:dyDescent="0.3">
      <c r="A17" s="23" t="s">
        <v>86</v>
      </c>
      <c r="B17" s="23" t="s">
        <v>87</v>
      </c>
      <c r="C17" s="23">
        <v>82</v>
      </c>
      <c r="D17" s="23">
        <v>99</v>
      </c>
      <c r="E17" s="23">
        <v>91</v>
      </c>
      <c r="F17" s="36">
        <f t="shared" si="0"/>
        <v>90.7</v>
      </c>
      <c r="G17" s="24">
        <v>84.3</v>
      </c>
      <c r="H17" s="23" t="str">
        <f t="shared" si="1"/>
        <v>PASS</v>
      </c>
      <c r="I17" s="23" t="str">
        <f t="shared" si="2"/>
        <v>PASS</v>
      </c>
      <c r="J17" s="23" t="str">
        <f t="shared" si="3"/>
        <v>GREEN - Satisfactory</v>
      </c>
      <c r="R17" s="37">
        <f t="shared" si="4"/>
        <v>84.300015999999999</v>
      </c>
    </row>
    <row r="18" spans="1:18" ht="15" customHeight="1" x14ac:dyDescent="0.3">
      <c r="A18" s="23" t="s">
        <v>88</v>
      </c>
      <c r="B18" s="23" t="s">
        <v>89</v>
      </c>
      <c r="C18" s="23">
        <v>50</v>
      </c>
      <c r="D18" s="23">
        <v>59</v>
      </c>
      <c r="E18" s="23">
        <v>49</v>
      </c>
      <c r="F18" s="36">
        <f t="shared" si="0"/>
        <v>52.7</v>
      </c>
      <c r="G18" s="24">
        <v>78.5</v>
      </c>
      <c r="H18" s="23" t="str">
        <f t="shared" si="1"/>
        <v>FAIL</v>
      </c>
      <c r="I18" s="23" t="str">
        <f t="shared" si="2"/>
        <v>PASS</v>
      </c>
      <c r="J18" s="23" t="str">
        <f t="shared" si="3"/>
        <v>YELLOW - Single Risk</v>
      </c>
      <c r="R18" s="37">
        <f t="shared" si="4"/>
        <v>78.500017</v>
      </c>
    </row>
    <row r="19" spans="1:18" ht="15" customHeight="1" x14ac:dyDescent="0.3">
      <c r="A19" s="23" t="s">
        <v>90</v>
      </c>
      <c r="B19" s="23" t="s">
        <v>91</v>
      </c>
      <c r="C19" s="23">
        <v>92</v>
      </c>
      <c r="D19" s="23">
        <v>85</v>
      </c>
      <c r="E19" s="23">
        <v>73</v>
      </c>
      <c r="F19" s="36">
        <f t="shared" si="0"/>
        <v>83.3</v>
      </c>
      <c r="G19" s="24">
        <v>91.4</v>
      </c>
      <c r="H19" s="23" t="str">
        <f t="shared" si="1"/>
        <v>PASS</v>
      </c>
      <c r="I19" s="23" t="str">
        <f t="shared" si="2"/>
        <v>PASS</v>
      </c>
      <c r="J19" s="23" t="str">
        <f t="shared" si="3"/>
        <v>GREEN - Satisfactory</v>
      </c>
      <c r="R19" s="37">
        <f t="shared" si="4"/>
        <v>91.400018000000003</v>
      </c>
    </row>
    <row r="20" spans="1:18" ht="15" customHeight="1" x14ac:dyDescent="0.3">
      <c r="A20" s="23" t="s">
        <v>92</v>
      </c>
      <c r="B20" s="23" t="s">
        <v>93</v>
      </c>
      <c r="C20" s="23">
        <v>93</v>
      </c>
      <c r="D20" s="23">
        <v>65</v>
      </c>
      <c r="E20" s="23">
        <v>75</v>
      </c>
      <c r="F20" s="36">
        <f t="shared" si="0"/>
        <v>77.7</v>
      </c>
      <c r="G20" s="24">
        <v>68</v>
      </c>
      <c r="H20" s="23" t="str">
        <f t="shared" si="1"/>
        <v>PASS</v>
      </c>
      <c r="I20" s="23" t="str">
        <f t="shared" si="2"/>
        <v>FAIL</v>
      </c>
      <c r="J20" s="23" t="str">
        <f t="shared" si="3"/>
        <v>YELLOW - Single Risk</v>
      </c>
      <c r="R20" s="37">
        <f t="shared" si="4"/>
        <v>68.000018999999995</v>
      </c>
    </row>
    <row r="21" spans="1:18" ht="15" customHeight="1" x14ac:dyDescent="0.3">
      <c r="A21" s="23" t="s">
        <v>94</v>
      </c>
      <c r="B21" s="23" t="s">
        <v>95</v>
      </c>
      <c r="C21" s="23">
        <v>70</v>
      </c>
      <c r="D21" s="23">
        <v>77</v>
      </c>
      <c r="E21" s="23">
        <v>87</v>
      </c>
      <c r="F21" s="36">
        <f t="shared" si="0"/>
        <v>78</v>
      </c>
      <c r="G21" s="24">
        <v>58.2</v>
      </c>
      <c r="H21" s="23" t="str">
        <f t="shared" si="1"/>
        <v>PASS</v>
      </c>
      <c r="I21" s="23" t="str">
        <f t="shared" si="2"/>
        <v>FAIL</v>
      </c>
      <c r="J21" s="23" t="str">
        <f t="shared" si="3"/>
        <v>YELLOW - Single Risk</v>
      </c>
      <c r="R21" s="37">
        <f t="shared" si="4"/>
        <v>58.200020000000002</v>
      </c>
    </row>
    <row r="22" spans="1:18" ht="15" customHeight="1" x14ac:dyDescent="0.3">
      <c r="A22" s="23" t="s">
        <v>96</v>
      </c>
      <c r="B22" s="23" t="s">
        <v>97</v>
      </c>
      <c r="C22" s="23">
        <v>94</v>
      </c>
      <c r="D22" s="23">
        <v>68</v>
      </c>
      <c r="E22" s="23">
        <v>73</v>
      </c>
      <c r="F22" s="36">
        <f t="shared" si="0"/>
        <v>78.3</v>
      </c>
      <c r="G22" s="24">
        <v>87.9</v>
      </c>
      <c r="H22" s="23" t="str">
        <f t="shared" si="1"/>
        <v>PASS</v>
      </c>
      <c r="I22" s="23" t="str">
        <f t="shared" si="2"/>
        <v>PASS</v>
      </c>
      <c r="J22" s="23" t="str">
        <f t="shared" si="3"/>
        <v>GREEN - Satisfactory</v>
      </c>
      <c r="R22" s="37">
        <f t="shared" si="4"/>
        <v>87.90002100000001</v>
      </c>
    </row>
    <row r="23" spans="1:18" ht="15" customHeight="1" x14ac:dyDescent="0.3">
      <c r="A23" s="23" t="s">
        <v>98</v>
      </c>
      <c r="B23" s="23" t="s">
        <v>99</v>
      </c>
      <c r="C23" s="23">
        <v>98</v>
      </c>
      <c r="D23" s="23">
        <v>80</v>
      </c>
      <c r="E23" s="23">
        <v>71</v>
      </c>
      <c r="F23" s="36">
        <f t="shared" si="0"/>
        <v>83</v>
      </c>
      <c r="G23" s="24">
        <v>96</v>
      </c>
      <c r="H23" s="23" t="str">
        <f t="shared" si="1"/>
        <v>PASS</v>
      </c>
      <c r="I23" s="23" t="str">
        <f t="shared" si="2"/>
        <v>PASS</v>
      </c>
      <c r="J23" s="23" t="str">
        <f t="shared" si="3"/>
        <v>GREEN - Satisfactory</v>
      </c>
      <c r="R23" s="37">
        <f t="shared" si="4"/>
        <v>96.000022000000001</v>
      </c>
    </row>
    <row r="24" spans="1:18" ht="15" customHeight="1" x14ac:dyDescent="0.3">
      <c r="A24" s="23" t="s">
        <v>100</v>
      </c>
      <c r="B24" s="23" t="s">
        <v>101</v>
      </c>
      <c r="C24" s="23">
        <v>57</v>
      </c>
      <c r="D24" s="23">
        <v>47</v>
      </c>
      <c r="E24" s="23">
        <v>38</v>
      </c>
      <c r="F24" s="36">
        <f t="shared" si="0"/>
        <v>47.3</v>
      </c>
      <c r="G24" s="24">
        <v>64.8</v>
      </c>
      <c r="H24" s="23" t="str">
        <f t="shared" si="1"/>
        <v>FAIL</v>
      </c>
      <c r="I24" s="23" t="str">
        <f t="shared" si="2"/>
        <v>FAIL</v>
      </c>
      <c r="J24" s="23" t="str">
        <f t="shared" si="3"/>
        <v>RED - Dual Risk</v>
      </c>
      <c r="R24" s="37">
        <f t="shared" si="4"/>
        <v>64.800022999999996</v>
      </c>
    </row>
    <row r="25" spans="1:18" ht="15" customHeight="1" x14ac:dyDescent="0.3">
      <c r="A25" s="23" t="s">
        <v>102</v>
      </c>
      <c r="B25" s="23" t="s">
        <v>103</v>
      </c>
      <c r="C25" s="23">
        <v>84</v>
      </c>
      <c r="D25" s="23">
        <v>86</v>
      </c>
      <c r="E25" s="23">
        <v>76</v>
      </c>
      <c r="F25" s="36">
        <f t="shared" si="0"/>
        <v>82</v>
      </c>
      <c r="G25" s="24">
        <v>51.9</v>
      </c>
      <c r="H25" s="23" t="str">
        <f t="shared" si="1"/>
        <v>PASS</v>
      </c>
      <c r="I25" s="23" t="str">
        <f t="shared" si="2"/>
        <v>FAIL</v>
      </c>
      <c r="J25" s="23" t="str">
        <f t="shared" si="3"/>
        <v>YELLOW - Single Risk</v>
      </c>
      <c r="R25" s="37">
        <f t="shared" si="4"/>
        <v>51.900024000000002</v>
      </c>
    </row>
    <row r="26" spans="1:18" ht="15" customHeight="1" x14ac:dyDescent="0.3">
      <c r="A26" s="23" t="s">
        <v>104</v>
      </c>
      <c r="B26" s="23" t="s">
        <v>105</v>
      </c>
      <c r="C26" s="23">
        <v>35</v>
      </c>
      <c r="D26" s="23">
        <v>34</v>
      </c>
      <c r="E26" s="23">
        <v>37</v>
      </c>
      <c r="F26" s="36">
        <f t="shared" si="0"/>
        <v>35.299999999999997</v>
      </c>
      <c r="G26" s="24">
        <v>63.4</v>
      </c>
      <c r="H26" s="23" t="str">
        <f t="shared" si="1"/>
        <v>FAIL</v>
      </c>
      <c r="I26" s="23" t="str">
        <f t="shared" si="2"/>
        <v>FAIL</v>
      </c>
      <c r="J26" s="23" t="str">
        <f t="shared" si="3"/>
        <v>RED - Dual Risk</v>
      </c>
      <c r="R26" s="37">
        <f t="shared" si="4"/>
        <v>63.400024999999999</v>
      </c>
    </row>
    <row r="27" spans="1:18" ht="15" customHeight="1" x14ac:dyDescent="0.3">
      <c r="A27" s="23" t="s">
        <v>106</v>
      </c>
      <c r="B27" s="23" t="s">
        <v>107</v>
      </c>
      <c r="C27" s="23">
        <v>62</v>
      </c>
      <c r="D27" s="23">
        <v>93</v>
      </c>
      <c r="E27" s="23">
        <v>73</v>
      </c>
      <c r="F27" s="36">
        <f t="shared" si="0"/>
        <v>76</v>
      </c>
      <c r="G27" s="24">
        <v>54.8</v>
      </c>
      <c r="H27" s="23" t="str">
        <f t="shared" si="1"/>
        <v>PASS</v>
      </c>
      <c r="I27" s="23" t="str">
        <f t="shared" si="2"/>
        <v>FAIL</v>
      </c>
      <c r="J27" s="23" t="str">
        <f t="shared" si="3"/>
        <v>YELLOW - Single Risk</v>
      </c>
      <c r="R27" s="37">
        <f t="shared" si="4"/>
        <v>54.800025999999995</v>
      </c>
    </row>
    <row r="28" spans="1:18" ht="15" customHeight="1" x14ac:dyDescent="0.3">
      <c r="A28" s="23" t="s">
        <v>108</v>
      </c>
      <c r="B28" s="23" t="s">
        <v>109</v>
      </c>
      <c r="C28" s="23">
        <v>38</v>
      </c>
      <c r="D28" s="23">
        <v>42</v>
      </c>
      <c r="E28" s="23">
        <v>51</v>
      </c>
      <c r="F28" s="36">
        <f t="shared" si="0"/>
        <v>43.7</v>
      </c>
      <c r="G28" s="24">
        <v>89.2</v>
      </c>
      <c r="H28" s="23" t="str">
        <f t="shared" si="1"/>
        <v>FAIL</v>
      </c>
      <c r="I28" s="23" t="str">
        <f t="shared" si="2"/>
        <v>PASS</v>
      </c>
      <c r="J28" s="23" t="str">
        <f t="shared" si="3"/>
        <v>YELLOW - Single Risk</v>
      </c>
      <c r="R28" s="37">
        <f t="shared" si="4"/>
        <v>89.200027000000006</v>
      </c>
    </row>
    <row r="29" spans="1:18" ht="15" customHeight="1" x14ac:dyDescent="0.3">
      <c r="A29" s="23" t="s">
        <v>110</v>
      </c>
      <c r="B29" s="23" t="s">
        <v>111</v>
      </c>
      <c r="C29" s="23">
        <v>99</v>
      </c>
      <c r="D29" s="23">
        <v>83</v>
      </c>
      <c r="E29" s="23">
        <v>71</v>
      </c>
      <c r="F29" s="36">
        <f t="shared" si="0"/>
        <v>84.3</v>
      </c>
      <c r="G29" s="24">
        <v>93.2</v>
      </c>
      <c r="H29" s="23" t="str">
        <f t="shared" si="1"/>
        <v>PASS</v>
      </c>
      <c r="I29" s="23" t="str">
        <f t="shared" si="2"/>
        <v>PASS</v>
      </c>
      <c r="J29" s="23" t="str">
        <f t="shared" si="3"/>
        <v>GREEN - Satisfactory</v>
      </c>
      <c r="R29" s="37">
        <f t="shared" si="4"/>
        <v>93.200028000000003</v>
      </c>
    </row>
    <row r="30" spans="1:18" ht="15" customHeight="1" x14ac:dyDescent="0.3">
      <c r="A30" s="23" t="s">
        <v>112</v>
      </c>
      <c r="B30" s="23" t="s">
        <v>113</v>
      </c>
      <c r="C30" s="23">
        <v>94</v>
      </c>
      <c r="D30" s="23">
        <v>65</v>
      </c>
      <c r="E30" s="23">
        <v>91</v>
      </c>
      <c r="F30" s="36">
        <f t="shared" si="0"/>
        <v>83.3</v>
      </c>
      <c r="G30" s="24">
        <v>71.400000000000006</v>
      </c>
      <c r="H30" s="23" t="str">
        <f t="shared" si="1"/>
        <v>PASS</v>
      </c>
      <c r="I30" s="23" t="str">
        <f t="shared" si="2"/>
        <v>FAIL</v>
      </c>
      <c r="J30" s="23" t="str">
        <f t="shared" si="3"/>
        <v>YELLOW - Single Risk</v>
      </c>
      <c r="R30" s="37">
        <f t="shared" si="4"/>
        <v>71.400029000000004</v>
      </c>
    </row>
    <row r="31" spans="1:18" ht="15" customHeight="1" x14ac:dyDescent="0.3">
      <c r="A31" s="23" t="s">
        <v>114</v>
      </c>
      <c r="B31" s="23" t="s">
        <v>115</v>
      </c>
      <c r="C31" s="23">
        <v>98</v>
      </c>
      <c r="D31" s="23">
        <v>88</v>
      </c>
      <c r="E31" s="23">
        <v>88</v>
      </c>
      <c r="F31" s="36">
        <f t="shared" si="0"/>
        <v>91.3</v>
      </c>
      <c r="G31" s="24">
        <v>86.8</v>
      </c>
      <c r="H31" s="23" t="str">
        <f t="shared" si="1"/>
        <v>PASS</v>
      </c>
      <c r="I31" s="23" t="str">
        <f t="shared" si="2"/>
        <v>PASS</v>
      </c>
      <c r="J31" s="23" t="str">
        <f t="shared" si="3"/>
        <v>GREEN - Satisfactory</v>
      </c>
      <c r="R31" s="37">
        <f t="shared" si="4"/>
        <v>86.800029999999992</v>
      </c>
    </row>
    <row r="32" spans="1:18" ht="15" customHeight="1" x14ac:dyDescent="0.3">
      <c r="A32" s="23" t="s">
        <v>116</v>
      </c>
      <c r="B32" s="23" t="s">
        <v>117</v>
      </c>
      <c r="C32" s="23">
        <v>33</v>
      </c>
      <c r="D32" s="23">
        <v>45</v>
      </c>
      <c r="E32" s="23">
        <v>50</v>
      </c>
      <c r="F32" s="36">
        <f t="shared" si="0"/>
        <v>42.7</v>
      </c>
      <c r="G32" s="24">
        <v>56.2</v>
      </c>
      <c r="H32" s="23" t="str">
        <f t="shared" si="1"/>
        <v>FAIL</v>
      </c>
      <c r="I32" s="23" t="str">
        <f t="shared" si="2"/>
        <v>FAIL</v>
      </c>
      <c r="J32" s="23" t="str">
        <f t="shared" si="3"/>
        <v>RED - Dual Risk</v>
      </c>
      <c r="R32" s="37">
        <f t="shared" si="4"/>
        <v>56.200031000000003</v>
      </c>
    </row>
    <row r="33" spans="1:18" ht="15" customHeight="1" x14ac:dyDescent="0.3">
      <c r="A33" s="23" t="s">
        <v>118</v>
      </c>
      <c r="B33" s="23" t="s">
        <v>119</v>
      </c>
      <c r="C33" s="23">
        <v>36</v>
      </c>
      <c r="D33" s="23">
        <v>32</v>
      </c>
      <c r="E33" s="23">
        <v>36</v>
      </c>
      <c r="F33" s="36">
        <f t="shared" si="0"/>
        <v>34.700000000000003</v>
      </c>
      <c r="G33" s="24">
        <v>57.3</v>
      </c>
      <c r="H33" s="23" t="str">
        <f t="shared" si="1"/>
        <v>FAIL</v>
      </c>
      <c r="I33" s="23" t="str">
        <f t="shared" si="2"/>
        <v>FAIL</v>
      </c>
      <c r="J33" s="23" t="str">
        <f t="shared" si="3"/>
        <v>RED - Dual Risk</v>
      </c>
      <c r="R33" s="37">
        <f t="shared" si="4"/>
        <v>57.300031999999995</v>
      </c>
    </row>
    <row r="34" spans="1:18" ht="15" customHeight="1" x14ac:dyDescent="0.3">
      <c r="A34" s="23" t="s">
        <v>120</v>
      </c>
      <c r="B34" s="23" t="s">
        <v>121</v>
      </c>
      <c r="C34" s="23">
        <v>70</v>
      </c>
      <c r="D34" s="23">
        <v>84</v>
      </c>
      <c r="E34" s="23">
        <v>66</v>
      </c>
      <c r="F34" s="36">
        <f t="shared" si="0"/>
        <v>73.3</v>
      </c>
      <c r="G34" s="24">
        <v>80.3</v>
      </c>
      <c r="H34" s="23" t="str">
        <f t="shared" si="1"/>
        <v>PASS</v>
      </c>
      <c r="I34" s="23" t="str">
        <f t="shared" si="2"/>
        <v>PASS</v>
      </c>
      <c r="J34" s="23" t="str">
        <f t="shared" si="3"/>
        <v>GREEN - Satisfactory</v>
      </c>
      <c r="R34" s="37">
        <f t="shared" si="4"/>
        <v>80.300032999999999</v>
      </c>
    </row>
    <row r="35" spans="1:18" ht="15" customHeight="1" x14ac:dyDescent="0.3">
      <c r="A35" s="23" t="s">
        <v>122</v>
      </c>
      <c r="B35" s="23" t="s">
        <v>123</v>
      </c>
      <c r="C35" s="23">
        <v>56</v>
      </c>
      <c r="D35" s="23">
        <v>42</v>
      </c>
      <c r="E35" s="23">
        <v>55</v>
      </c>
      <c r="F35" s="36">
        <f t="shared" si="0"/>
        <v>51</v>
      </c>
      <c r="G35" s="24">
        <v>80.099999999999994</v>
      </c>
      <c r="H35" s="23" t="str">
        <f t="shared" si="1"/>
        <v>FAIL</v>
      </c>
      <c r="I35" s="23" t="str">
        <f t="shared" si="2"/>
        <v>PASS</v>
      </c>
      <c r="J35" s="23" t="str">
        <f t="shared" si="3"/>
        <v>YELLOW - Single Risk</v>
      </c>
      <c r="R35" s="37">
        <f t="shared" si="4"/>
        <v>80.100033999999994</v>
      </c>
    </row>
    <row r="36" spans="1:18" ht="15" customHeight="1" x14ac:dyDescent="0.3">
      <c r="A36" s="23" t="s">
        <v>124</v>
      </c>
      <c r="B36" s="23" t="s">
        <v>125</v>
      </c>
      <c r="C36" s="23">
        <v>85</v>
      </c>
      <c r="D36" s="23">
        <v>63</v>
      </c>
      <c r="E36" s="23">
        <v>66</v>
      </c>
      <c r="F36" s="36">
        <f t="shared" si="0"/>
        <v>71.3</v>
      </c>
      <c r="G36" s="24">
        <v>70.7</v>
      </c>
      <c r="H36" s="23" t="str">
        <f t="shared" si="1"/>
        <v>PASS</v>
      </c>
      <c r="I36" s="23" t="str">
        <f t="shared" si="2"/>
        <v>FAIL</v>
      </c>
      <c r="J36" s="23" t="str">
        <f t="shared" si="3"/>
        <v>YELLOW - Single Risk</v>
      </c>
      <c r="R36" s="37">
        <f t="shared" si="4"/>
        <v>70.700035</v>
      </c>
    </row>
  </sheetData>
  <conditionalFormatting sqref="J2:J36">
    <cfRule type="expression" dxfId="14" priority="2">
      <formula>LEFT(J2,3)="RED"</formula>
    </cfRule>
    <cfRule type="expression" dxfId="13" priority="3">
      <formula>LEFT(J2,6)="YELLOW"</formula>
    </cfRule>
    <cfRule type="expression" dxfId="12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zoomScaleNormal="100" workbookViewId="0">
      <selection activeCell="A21" sqref="A21"/>
    </sheetView>
  </sheetViews>
  <sheetFormatPr defaultColWidth="8.6640625" defaultRowHeight="14.4" x14ac:dyDescent="0.3"/>
  <cols>
    <col min="1" max="1" width="92" customWidth="1"/>
  </cols>
  <sheetData>
    <row r="1" spans="1:1" ht="17.25" customHeight="1" x14ac:dyDescent="0.35">
      <c r="A1" s="38" t="s">
        <v>140</v>
      </c>
    </row>
    <row r="2" spans="1:1" ht="15" customHeight="1" x14ac:dyDescent="0.3">
      <c r="A2" s="39"/>
    </row>
    <row r="3" spans="1:1" ht="15" customHeight="1" x14ac:dyDescent="0.3">
      <c r="A3" s="39" t="s">
        <v>141</v>
      </c>
    </row>
    <row r="4" spans="1:1" ht="15" customHeight="1" x14ac:dyDescent="0.3">
      <c r="A4" s="39" t="s">
        <v>126</v>
      </c>
    </row>
    <row r="5" spans="1:1" ht="15" customHeight="1" x14ac:dyDescent="0.3">
      <c r="A5" s="39" t="s">
        <v>127</v>
      </c>
    </row>
    <row r="6" spans="1:1" ht="15" customHeight="1" x14ac:dyDescent="0.3">
      <c r="A6" s="39" t="s">
        <v>128</v>
      </c>
    </row>
    <row r="7" spans="1:1" ht="15" customHeight="1" x14ac:dyDescent="0.3">
      <c r="A7" s="39"/>
    </row>
    <row r="8" spans="1:1" ht="15" customHeight="1" x14ac:dyDescent="0.3">
      <c r="A8" s="39" t="s">
        <v>129</v>
      </c>
    </row>
    <row r="9" spans="1:1" ht="15" customHeight="1" x14ac:dyDescent="0.3">
      <c r="A9" s="39" t="s">
        <v>130</v>
      </c>
    </row>
    <row r="10" spans="1:1" ht="15" customHeight="1" x14ac:dyDescent="0.3">
      <c r="A10" s="39" t="s">
        <v>131</v>
      </c>
    </row>
    <row r="11" spans="1:1" ht="15" customHeight="1" x14ac:dyDescent="0.3">
      <c r="A11" s="39"/>
    </row>
    <row r="12" spans="1:1" ht="15" customHeight="1" x14ac:dyDescent="0.3">
      <c r="A12" s="39" t="s">
        <v>132</v>
      </c>
    </row>
    <row r="13" spans="1:1" ht="15" customHeight="1" x14ac:dyDescent="0.3">
      <c r="A13" s="39" t="s">
        <v>133</v>
      </c>
    </row>
    <row r="14" spans="1:1" ht="15" customHeight="1" x14ac:dyDescent="0.3">
      <c r="A14" s="39" t="s">
        <v>134</v>
      </c>
    </row>
    <row r="15" spans="1:1" ht="15" customHeight="1" x14ac:dyDescent="0.3">
      <c r="A15" s="39"/>
    </row>
    <row r="16" spans="1:1" ht="15" customHeight="1" x14ac:dyDescent="0.3">
      <c r="A16" s="39" t="s">
        <v>135</v>
      </c>
    </row>
    <row r="17" spans="1:1" ht="15" customHeight="1" x14ac:dyDescent="0.3">
      <c r="A17" s="39" t="s">
        <v>136</v>
      </c>
    </row>
    <row r="18" spans="1:1" ht="15" customHeight="1" x14ac:dyDescent="0.3">
      <c r="A18" s="39"/>
    </row>
    <row r="19" spans="1:1" ht="15" customHeight="1" x14ac:dyDescent="0.3">
      <c r="A19" s="39" t="s">
        <v>137</v>
      </c>
    </row>
    <row r="20" spans="1:1" ht="15" customHeight="1" x14ac:dyDescent="0.3">
      <c r="A20" s="39" t="s">
        <v>138</v>
      </c>
    </row>
    <row r="21" spans="1:1" ht="15" customHeight="1" x14ac:dyDescent="0.3">
      <c r="A21" s="39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Eslam Aboelnaga‎</cp:lastModifiedBy>
  <cp:revision>3</cp:revision>
  <dcterms:created xsi:type="dcterms:W3CDTF">2026-07-12T10:58:50Z</dcterms:created>
  <dcterms:modified xsi:type="dcterms:W3CDTF">2026-07-12T12:31:21Z</dcterms:modified>
  <dc:language>en-US</dc:language>
</cp:coreProperties>
</file>